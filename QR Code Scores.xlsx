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Bednall\OneDrive - Swinburne University\Documents\Teaching\PEER\QR\"/>
    </mc:Choice>
  </mc:AlternateContent>
  <xr:revisionPtr revIDLastSave="0" documentId="13_ncr:1_{0E683908-F924-4F91-889E-31969A2DB796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QR Data" sheetId="1" r:id="rId1"/>
    <sheet name="Students" sheetId="4" r:id="rId2"/>
  </sheets>
  <definedNames>
    <definedName name="_xlnm._FilterDatabase" localSheetId="0" hidden="1">'QR Data'!$A$1:$Q$6</definedName>
    <definedName name="_xlnm._FilterDatabase" localSheetId="1" hidden="1">Students!$A$3:$N$8</definedName>
    <definedName name="Distribution_Channel">'QR Data'!$P$2:$P$6</definedName>
    <definedName name="Duration__in_seconds">'QR Data'!$F$2:$F$6</definedName>
    <definedName name="End_Date">'QR Data'!$B$2:$B$6</definedName>
    <definedName name="External_Data_Reference">'QR Data'!$M$2:$M$6</definedName>
    <definedName name="Finished">'QR Data'!$G$2:$G$6</definedName>
    <definedName name="IP_Address">'QR Data'!$D$2:$D$6</definedName>
    <definedName name="Location_Latitude">'QR Data'!$N$2:$N$6</definedName>
    <definedName name="Location_Longitude">'QR Data'!$O$2:$O$6</definedName>
    <definedName name="Progress">'QR Data'!$E$2:$E$6</definedName>
    <definedName name="Recipient_Email">'QR Data'!$L$2:$L$6</definedName>
    <definedName name="Recipient_First_Name">'QR Data'!$K$2:$K$6</definedName>
    <definedName name="Recipient_Last_Name">'QR Data'!$J$2:$J$6</definedName>
    <definedName name="Recorded_Date">'QR Data'!$H$2:$H$6</definedName>
    <definedName name="Response_ID">'QR Data'!$I$2:$I$6</definedName>
    <definedName name="Response_Type">'QR Data'!$C$2:$C$6</definedName>
    <definedName name="Start_Date">'QR Data'!$A$2:$A$6</definedName>
    <definedName name="User_Language">'QR Data'!$Q$2:$Q$6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D1" i="4"/>
  <c r="E1" i="4" s="1"/>
  <c r="F1" i="4" l="1"/>
  <c r="E2" i="4"/>
  <c r="F2" i="4" s="1"/>
  <c r="G2" i="4" s="1"/>
  <c r="H2" i="4" s="1"/>
  <c r="G1" i="4" l="1"/>
  <c r="A4" i="4" a="1"/>
  <c r="G5" i="4" l="1" a="1"/>
  <c r="G5" i="4" s="1"/>
  <c r="H5" i="4" a="1"/>
  <c r="H5" i="4" s="1"/>
  <c r="D6" i="4" a="1"/>
  <c r="D6" i="4" s="1"/>
  <c r="H7" i="4" a="1"/>
  <c r="H7" i="4" s="1"/>
  <c r="D8" i="4" a="1"/>
  <c r="D8" i="4" s="1"/>
  <c r="D5" i="4" a="1"/>
  <c r="D5" i="4" s="1"/>
  <c r="E5" i="4" a="1"/>
  <c r="E5" i="4" s="1"/>
  <c r="F6" i="4" a="1"/>
  <c r="F6" i="4" s="1"/>
  <c r="E7" i="4" a="1"/>
  <c r="E7" i="4" s="1"/>
  <c r="C5" i="4" a="1"/>
  <c r="C5" i="4" s="1"/>
  <c r="F8" i="4" a="1"/>
  <c r="F8" i="4" s="1"/>
  <c r="G7" i="4" a="1"/>
  <c r="G7" i="4" s="1"/>
  <c r="D7" i="4" a="1"/>
  <c r="D7" i="4" s="1"/>
  <c r="G8" i="4" a="1"/>
  <c r="G8" i="4" s="1"/>
  <c r="F7" i="4" a="1"/>
  <c r="F7" i="4" s="1"/>
  <c r="E6" i="4" a="1"/>
  <c r="E6" i="4" s="1"/>
  <c r="C6" i="4" a="1"/>
  <c r="C6" i="4" s="1"/>
  <c r="G6" i="4" a="1"/>
  <c r="G6" i="4" s="1"/>
  <c r="F5" i="4" a="1"/>
  <c r="F5" i="4" s="1"/>
  <c r="C7" i="4" a="1"/>
  <c r="C7" i="4" s="1"/>
  <c r="E8" i="4" a="1"/>
  <c r="E8" i="4" s="1"/>
  <c r="H6" i="4" a="1"/>
  <c r="H6" i="4" s="1"/>
  <c r="C8" i="4" a="1"/>
  <c r="C8" i="4" s="1"/>
  <c r="A4" i="4"/>
  <c r="B4" i="4" s="1"/>
  <c r="H1" i="4"/>
  <c r="H8" i="4" s="1" a="1"/>
  <c r="H8" i="4" s="1"/>
  <c r="B7" i="4"/>
  <c r="B5" i="4"/>
  <c r="B8" i="4"/>
  <c r="B6" i="4"/>
  <c r="D4" i="4" l="1" a="1"/>
  <c r="D4" i="4" s="1"/>
  <c r="F4" i="4" a="1"/>
  <c r="F4" i="4" s="1"/>
  <c r="E4" i="4" a="1"/>
  <c r="E4" i="4" s="1"/>
  <c r="H4" i="4" a="1"/>
  <c r="H4" i="4" s="1"/>
  <c r="G4" i="4" a="1"/>
  <c r="G4" i="4" s="1"/>
  <c r="C4" i="4" a="1"/>
  <c r="C4" i="4" s="1"/>
  <c r="I1" i="4"/>
  <c r="I5" i="4" l="1" a="1"/>
  <c r="I5" i="4" s="1"/>
  <c r="J1" i="4"/>
  <c r="I2" i="4"/>
  <c r="I7" i="4" s="1" a="1"/>
  <c r="I7" i="4" s="1"/>
  <c r="I8" i="4" l="1" a="1"/>
  <c r="I8" i="4" s="1"/>
  <c r="J2" i="4"/>
  <c r="K2" i="4" s="1"/>
  <c r="L2" i="4" s="1"/>
  <c r="M2" i="4" s="1"/>
  <c r="N2" i="4" s="1"/>
  <c r="I4" i="4" a="1"/>
  <c r="I4" i="4" s="1"/>
  <c r="I6" i="4" a="1"/>
  <c r="I6" i="4" s="1"/>
  <c r="K1" i="4"/>
  <c r="K7" i="4" l="1" a="1"/>
  <c r="K7" i="4" s="1"/>
  <c r="K6" i="4" a="1"/>
  <c r="K6" i="4" s="1"/>
  <c r="K5" i="4" a="1"/>
  <c r="K5" i="4" s="1"/>
  <c r="K8" i="4" a="1"/>
  <c r="K8" i="4" s="1"/>
  <c r="K4" i="4" a="1"/>
  <c r="K4" i="4" s="1"/>
  <c r="J4" i="4" a="1"/>
  <c r="J4" i="4" s="1"/>
  <c r="J7" i="4" a="1"/>
  <c r="J7" i="4" s="1"/>
  <c r="J8" i="4" a="1"/>
  <c r="J8" i="4" s="1"/>
  <c r="J6" i="4" a="1"/>
  <c r="J6" i="4" s="1"/>
  <c r="J5" i="4" a="1"/>
  <c r="J5" i="4" s="1"/>
  <c r="L1" i="4"/>
  <c r="L7" i="4" l="1" a="1"/>
  <c r="L7" i="4" s="1"/>
  <c r="L6" i="4" a="1"/>
  <c r="L6" i="4" s="1"/>
  <c r="L5" i="4" a="1"/>
  <c r="L5" i="4" s="1"/>
  <c r="L8" i="4" a="1"/>
  <c r="L8" i="4" s="1"/>
  <c r="L4" i="4" a="1"/>
  <c r="L4" i="4" s="1"/>
  <c r="M1" i="4"/>
  <c r="N1" i="4" l="1"/>
  <c r="M8" i="4" a="1"/>
  <c r="M8" i="4" s="1"/>
  <c r="M5" i="4" a="1"/>
  <c r="M5" i="4" s="1"/>
  <c r="M6" i="4" a="1"/>
  <c r="M6" i="4" s="1"/>
  <c r="M7" i="4" a="1"/>
  <c r="M7" i="4" s="1"/>
  <c r="M4" i="4" a="1"/>
  <c r="M4" i="4" s="1"/>
  <c r="N8" i="4" l="1" a="1"/>
  <c r="N8" i="4" s="1"/>
  <c r="N5" i="4" a="1"/>
  <c r="N5" i="4" s="1"/>
  <c r="N7" i="4" a="1"/>
  <c r="N7" i="4" s="1"/>
  <c r="N6" i="4" a="1"/>
  <c r="N6" i="4" s="1"/>
  <c r="N4" i="4" a="1"/>
  <c r="N4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<sst xmlns="http://schemas.openxmlformats.org/spreadsheetml/2006/main" count="84" uniqueCount="65">
  <si>
    <t>Start Date</t>
  </si>
  <si>
    <t>End Date</t>
  </si>
  <si>
    <t>Response Type</t>
  </si>
  <si>
    <t>IP Address</t>
  </si>
  <si>
    <t>Progress</t>
  </si>
  <si>
    <t>Duration (in seconds)</t>
  </si>
  <si>
    <t>Finished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</si>
  <si>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</si>
  <si>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</si>
  <si>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</si>
  <si>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</si>
  <si>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</si>
  <si>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</si>
  <si>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</si>
  <si>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</si>
  <si>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</si>
  <si>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</si>
  <si>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120.19.168.42</t>
  </si>
  <si>
    <t>R_9qeanki1g1izXZy</t>
  </si>
  <si>
    <t>gl</t>
  </si>
  <si>
    <t>EN</t>
  </si>
  <si>
    <t>136.186.248.243</t>
  </si>
  <si>
    <t>R_92WnTLwBqRiFgTn</t>
  </si>
  <si>
    <t>136.186.248.240</t>
  </si>
  <si>
    <t>R_4QTshBBQbGatwsh</t>
  </si>
  <si>
    <t>136.186.248.242</t>
  </si>
  <si>
    <t>R_9Oh5cjdhiNJ8mbv</t>
  </si>
  <si>
    <t>R_4Seon2c0ia5RfEd</t>
  </si>
  <si>
    <t>Smith</t>
  </si>
  <si>
    <t>Email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</si>
  <si>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</si>
  <si>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</si>
  <si>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</si>
  <si>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</si>
  <si>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</si>
  <si>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</si>
  <si>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</si>
  <si>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</si>
  <si>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</si>
  <si>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Name</t>
  </si>
  <si>
    <t>Week 11</t>
  </si>
  <si>
    <t>True</t>
  </si>
  <si>
    <t>383553</t>
  </si>
  <si>
    <t>383552</t>
  </si>
  <si>
    <t>399300</t>
  </si>
  <si>
    <t>380626</t>
  </si>
  <si>
    <t>Week 1</t>
  </si>
  <si>
    <t>Week 12</t>
  </si>
  <si>
    <t>Date From:</t>
  </si>
  <si>
    <t>Date To:</t>
  </si>
  <si>
    <t>Total</t>
  </si>
  <si>
    <t>John</t>
  </si>
  <si>
    <t>Buble</t>
  </si>
  <si>
    <t>Michael</t>
  </si>
  <si>
    <t>Addams</t>
  </si>
  <si>
    <t>Wednesday</t>
  </si>
  <si>
    <t>Simpson</t>
  </si>
  <si>
    <t>Homer</t>
  </si>
  <si>
    <t>Mustang</t>
  </si>
  <si>
    <t>Sally</t>
  </si>
  <si>
    <t>2364832487@uni.edu</t>
  </si>
  <si>
    <t>739857349@uni.edu</t>
  </si>
  <si>
    <t>128938294@uni.edu</t>
  </si>
  <si>
    <t>23948239423@uni.edu</t>
  </si>
  <si>
    <t>283749234@uni.edu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</si>
</sst>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49" fontId="1" fillId="0" borderId="0" xfId="1" applyNumberFormat="1" applyAlignment="1">
      <alignment wrapText="1"/>
    </xf>
  </cellXfs>
  <cellStyles count="2">
    <cellStyle name="Hyperlink" xfId="1" builtinId="8"/>
    <cellStyle name="Normal" xfId="0" builtinId="0"/>
  </cellStyles>
  <dxfs count="13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27" formatCode="d/mm/yyyy\ h:mm"/>
    </dxf>
    <dxf>
      <numFmt numFmtId="30" formatCode="@"/>
      <alignment horizontal="general" vertical="bottom" textRotation="0" wrapText="1" indent="0" justifyLastLine="0" shrinkToFit="0" readingOrder="0"/>
    </dxf>
    <dxf>
      <numFmt numFmtId="27" formatCode="d/mm/yyyy\ h:mm"/>
    </dxf>
    <dxf>
      <numFmt numFmtId="27" formatCode="d/mm/yyyy\ h:mm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E8E66-4411-4582-A26B-400430BAE536}" name="Data" displayName="Data" ref="A1:Q6" totalsRowShown="0" headerRowDxfId="12" dataDxfId="11">
  <autoFilter ref="A1:Q6" xr:uid="{49FE8E66-4411-4582-A26B-400430BAE536}"/>
  <tableColumns count="17">
    <tableColumn id="1" xr3:uid="{E92DD27F-34A5-4802-9022-5C4FD9A7B5B7}" name="Start Date" dataDxfId="10"/>
    <tableColumn id="2" xr3:uid="{612589A2-3EF6-4448-BBE1-380062C71A9C}" name="End Date" dataDxfId="9"/>
    <tableColumn id="3" xr3:uid="{BFB44188-A351-4FE5-939F-D4402FD83FC0}" name="Response Type"/>
    <tableColumn id="4" xr3:uid="{7DA77C86-55EF-4056-AA63-D9D5372A4A6F}" name="IP Address" dataDxfId="8"/>
    <tableColumn id="5" xr3:uid="{F959EDD4-F72C-47A1-884B-3C5D6767C16E}" name="Progress"/>
    <tableColumn id="6" xr3:uid="{926C4E97-B2D6-46F6-89A5-C9DAC9DBAA9D}" name="Duration (in seconds)"/>
    <tableColumn id="7" xr3:uid="{F8D7670C-4B18-412A-96B2-0A1EBFC7E5C9}" name="Finished"/>
    <tableColumn id="8" xr3:uid="{AA38B0AD-4D78-4392-A843-617EB6D77EE1}" name="Recorded Date" dataDxfId="7"/>
    <tableColumn id="9" xr3:uid="{653D02E8-EB20-4B39-9731-44FE3CBADE29}" name="Response ID" dataDxfId="6"/>
    <tableColumn id="10" xr3:uid="{83857A00-EBD5-4C46-9B80-E961F2600055}" name="Recipient Last Name" dataDxfId="5"/>
    <tableColumn id="11" xr3:uid="{CCDEF6C1-DBF8-4F7E-A4E7-603C0BC07F1F}" name="Recipient First Name" dataDxfId="4"/>
    <tableColumn id="12" xr3:uid="{7A9A024D-AE24-40E7-B299-295210732124}" name="Recipient Email" dataDxfId="3"/>
    <tableColumn id="13" xr3:uid="{21259822-10FF-4B12-BFC2-C6E7151DA268}" name="External Data Reference" dataDxfId="2"/>
    <tableColumn id="14" xr3:uid="{2E5944BE-740F-4E3B-B865-FD2B27D1795D}" name="Location Latitude"/>
    <tableColumn id="15" xr3:uid="{642A130E-9C18-45A1-B669-9D77C067AF56}" name="Location Longitude"/>
    <tableColumn id="16" xr3:uid="{9154A945-5590-40B4-8287-154B7AE8FF87}" name="Distribution Channel" dataDxfId="1"/>
    <tableColumn id="17" xr3:uid="{24B2A69C-7A6E-4FFD-9E19-7A026C47493C}" name="User Langu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28938294@uni.edu" TargetMode="External"/><Relationship Id="rId2" Type="http://schemas.openxmlformats.org/officeDocument/2006/relationships/hyperlink" Target="mailto:739857349@uni.edu" TargetMode="External"/><Relationship Id="rId1" Type="http://schemas.openxmlformats.org/officeDocument/2006/relationships/hyperlink" Target="mailto:2364832487@uni.edu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283749234@uni.edu" TargetMode="External"/><Relationship Id="rId4" Type="http://schemas.openxmlformats.org/officeDocument/2006/relationships/hyperlink" Target="mailto:23948239423@un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workbookViewId="0">
      <selection activeCell="L7" sqref="L7"/>
    </sheetView>
  </sheetViews>
  <sheetFormatPr defaultRowHeight="14.5" x14ac:dyDescent="0.35"/>
  <cols>
    <col min="1" max="1" width="15.1796875" bestFit="1" customWidth="1"/>
    <col min="2" max="2" width="15.08984375" bestFit="1" customWidth="1"/>
    <col min="3" max="3" width="15.26953125" customWidth="1"/>
    <col min="4" max="4" width="11.54296875" customWidth="1"/>
    <col min="5" max="5" width="9.90625" customWidth="1"/>
    <col min="6" max="6" width="20.7265625" customWidth="1"/>
    <col min="7" max="7" width="10.08984375" customWidth="1"/>
    <col min="8" max="8" width="15.08984375" customWidth="1"/>
    <col min="9" max="9" width="13.1796875" customWidth="1"/>
    <col min="10" max="10" width="20" customWidth="1"/>
    <col min="11" max="11" width="20.26953125" customWidth="1"/>
    <col min="12" max="12" width="16" customWidth="1"/>
    <col min="13" max="13" width="22.81640625" customWidth="1"/>
    <col min="14" max="14" width="17.26953125" customWidth="1"/>
    <col min="15" max="15" width="18.6328125" customWidth="1"/>
    <col min="16" max="16" width="20.26953125" customWidth="1"/>
    <col min="17" max="17" width="14.90625" customWidth="1"/>
    <col min="19" max="19" width="10.1796875" bestFit="1" customWidth="1"/>
  </cols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9" ht="29" x14ac:dyDescent="0.35">
      <c r="A2" s="2">
        <v>45880.525682870371</v>
      </c>
      <c r="B2" s="2">
        <v>45880.526307870372</v>
      </c>
      <c r="C2" s="3" t="s">
        <v>3</v>
      </c>
      <c r="D2" s="3" t="s">
        <v>17</v>
      </c>
      <c r="E2">
        <v>100</v>
      </c>
      <c r="F2">
        <v>53</v>
      </c>
      <c r="G2" s="3" t="s">
        <v>41</v>
      </c>
      <c r="H2" s="2">
        <v>45880.526316192132</v>
      </c>
      <c r="I2" s="3" t="s">
        <v>18</v>
      </c>
      <c r="J2" s="3" t="s">
        <v>28</v>
      </c>
      <c r="K2" s="3" t="s">
        <v>51</v>
      </c>
      <c r="L2" s="5" t="s">
        <v>60</v>
      </c>
      <c r="M2" s="3" t="s">
        <v>42</v>
      </c>
      <c r="N2">
        <v>-37.815899999999999</v>
      </c>
      <c r="O2">
        <v>144.96690000000001</v>
      </c>
      <c r="P2" s="3" t="s">
        <v>19</v>
      </c>
      <c r="Q2" s="3" t="s">
        <v>20</v>
      </c>
      <c r="S2" s="1"/>
    </row>
    <row r="3" spans="1:19" ht="29" x14ac:dyDescent="0.35">
      <c r="A3" s="2">
        <v>45880.526203703703</v>
      </c>
      <c r="B3" s="2">
        <v>45880.526562500003</v>
      </c>
      <c r="C3" s="3" t="s">
        <v>3</v>
      </c>
      <c r="D3" s="3" t="s">
        <v>21</v>
      </c>
      <c r="E3">
        <v>100</v>
      </c>
      <c r="F3">
        <v>31</v>
      </c>
      <c r="G3" s="3" t="s">
        <v>41</v>
      </c>
      <c r="H3" s="2">
        <v>45880.526571180555</v>
      </c>
      <c r="I3" s="3" t="s">
        <v>22</v>
      </c>
      <c r="J3" s="3" t="s">
        <v>52</v>
      </c>
      <c r="K3" s="3" t="s">
        <v>53</v>
      </c>
      <c r="L3" s="5" t="s">
        <v>61</v>
      </c>
      <c r="M3" s="3" t="s">
        <v>43</v>
      </c>
      <c r="N3">
        <v>-37.820700000000002</v>
      </c>
      <c r="O3">
        <v>145.04079999999999</v>
      </c>
      <c r="P3" s="3" t="s">
        <v>19</v>
      </c>
      <c r="Q3" s="3" t="s">
        <v>20</v>
      </c>
    </row>
    <row r="4" spans="1:19" ht="29" x14ac:dyDescent="0.35">
      <c r="A4" s="2">
        <v>45880.528923611113</v>
      </c>
      <c r="B4" s="2">
        <v>45880.529942129629</v>
      </c>
      <c r="C4" s="3" t="s">
        <v>3</v>
      </c>
      <c r="D4" s="3" t="s">
        <v>23</v>
      </c>
      <c r="E4">
        <v>100</v>
      </c>
      <c r="F4">
        <v>87</v>
      </c>
      <c r="G4" s="3" t="s">
        <v>41</v>
      </c>
      <c r="H4" s="2">
        <v>45880.529952395831</v>
      </c>
      <c r="I4" s="3" t="s">
        <v>24</v>
      </c>
      <c r="J4" s="3" t="s">
        <v>54</v>
      </c>
      <c r="K4" s="3" t="s">
        <v>55</v>
      </c>
      <c r="L4" s="5" t="s">
        <v>62</v>
      </c>
      <c r="M4" s="3" t="s">
        <v>44</v>
      </c>
      <c r="N4">
        <v>-37.820700000000002</v>
      </c>
      <c r="O4">
        <v>145.04079999999999</v>
      </c>
      <c r="P4" s="3" t="s">
        <v>19</v>
      </c>
      <c r="Q4" s="3" t="s">
        <v>20</v>
      </c>
    </row>
    <row r="5" spans="1:19" ht="29" x14ac:dyDescent="0.35">
      <c r="A5" s="2">
        <v>45880.530682870369</v>
      </c>
      <c r="B5" s="2">
        <v>45880.5309375</v>
      </c>
      <c r="C5" s="3" t="s">
        <v>3</v>
      </c>
      <c r="D5" s="3" t="s">
        <v>25</v>
      </c>
      <c r="E5">
        <v>100</v>
      </c>
      <c r="F5">
        <v>22</v>
      </c>
      <c r="G5" s="3" t="s">
        <v>41</v>
      </c>
      <c r="H5" s="2">
        <v>45880.530951747685</v>
      </c>
      <c r="I5" s="3" t="s">
        <v>26</v>
      </c>
      <c r="J5" s="3" t="s">
        <v>56</v>
      </c>
      <c r="K5" s="3" t="s">
        <v>57</v>
      </c>
      <c r="L5" s="5" t="s">
        <v>63</v>
      </c>
      <c r="M5" s="3" t="s">
        <v>45</v>
      </c>
      <c r="N5">
        <v>-37.820700000000002</v>
      </c>
      <c r="O5">
        <v>145.04079999999999</v>
      </c>
      <c r="P5" s="3" t="s">
        <v>19</v>
      </c>
      <c r="Q5" s="3" t="s">
        <v>20</v>
      </c>
    </row>
    <row r="6" spans="1:19" ht="29" x14ac:dyDescent="0.35">
      <c r="A6" s="2">
        <v>45880.531574074077</v>
      </c>
      <c r="B6" s="2">
        <v>45880.532511574071</v>
      </c>
      <c r="C6" s="3" t="s">
        <v>3</v>
      </c>
      <c r="D6" s="3" t="s">
        <v>17</v>
      </c>
      <c r="E6">
        <v>100</v>
      </c>
      <c r="F6">
        <v>80</v>
      </c>
      <c r="G6" s="3" t="s">
        <v>41</v>
      </c>
      <c r="H6" s="2">
        <v>45880.532522210648</v>
      </c>
      <c r="I6" s="3" t="s">
        <v>27</v>
      </c>
      <c r="J6" s="3" t="s">
        <v>58</v>
      </c>
      <c r="K6" s="3" t="s">
        <v>59</v>
      </c>
      <c r="L6" s="5" t="s">
        <v>64</v>
      </c>
      <c r="M6" s="3" t="s">
        <v>42</v>
      </c>
      <c r="N6">
        <v>-37.815899999999999</v>
      </c>
      <c r="O6">
        <v>144.96690000000001</v>
      </c>
      <c r="P6" s="3" t="s">
        <v>19</v>
      </c>
      <c r="Q6" s="3" t="s">
        <v>20</v>
      </c>
    </row>
  </sheetData>
  <hyperlinks>
    <hyperlink ref="L2" r:id="rId1" xr:uid="{0CEB3664-8BE8-4E99-93A5-BED4C82AEFCD}"/>
    <hyperlink ref="L3" r:id="rId2" xr:uid="{978BA536-495B-4E6D-AC1B-62ABC5EC3416}"/>
    <hyperlink ref="L4" r:id="rId3" xr:uid="{F6C14CC8-0735-4946-81DC-27F3043CE3DA}"/>
    <hyperlink ref="L5" r:id="rId4" xr:uid="{8ECF9BD4-28AD-4EE6-9EEE-B04DA41DD14B}"/>
    <hyperlink ref="L6" r:id="rId5" xr:uid="{BDA2DF54-03C0-4C68-86F1-2F34E4E7E37E}"/>
  </hyperlinks>
  <pageMargins left="0.7" right="0.7" top="0.75" bottom="0.75" header="0.3" footer="0.3"/>
  <headerFooter>
    <oddHeader>&amp;L&amp;"Calibri"&amp;12&amp;K000000 Internal&amp;1#_x000D_</oddHeader>
  </headerFooter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3EAE-9B2D-4F1C-9CF6-3010FA1B087A}">
  <dimension ref="A1:O8"/>
  <sheetViews>
    <sheetView tabSelected="1" workbookViewId="0">
      <selection activeCell="A8" sqref="A8"/>
    </sheetView>
  </sheetViews>
  <sheetFormatPr defaultRowHeight="14.5" x14ac:dyDescent="0.35"/>
  <cols>
    <col min="1" max="1" width="28.26953125" bestFit="1" customWidth="1"/>
    <col min="2" max="2" width="34.7265625" bestFit="1" customWidth="1"/>
    <col min="3" max="3" width="12.7265625" customWidth="1"/>
    <col min="4" max="13" width="11.7265625" customWidth="1"/>
    <col min="14" max="14" width="10.08984375" bestFit="1" customWidth="1"/>
  </cols>
  <sheetData>
    <row r="1" spans="1:15" x14ac:dyDescent="0.35">
      <c r="B1" t="s">
        <v>48</v>
      </c>
      <c r="C1" s="1">
        <v>45873</v>
      </c>
      <c r="D1" s="1">
        <f>C1+7</f>
        <v>45880</v>
      </c>
      <c r="E1" s="1">
        <f>D1+7</f>
        <v>45887</v>
      </c>
      <c r="F1" s="1">
        <f t="shared" ref="F1:N2" si="0">E1+7</f>
        <v>45894</v>
      </c>
      <c r="G1" s="1">
        <f t="shared" si="0"/>
        <v>45901</v>
      </c>
      <c r="H1" s="1">
        <f t="shared" si="0"/>
        <v>45908</v>
      </c>
      <c r="I1" s="1">
        <f>H1+14</f>
        <v>45922</v>
      </c>
      <c r="J1" s="1">
        <f t="shared" si="0"/>
        <v>45929</v>
      </c>
      <c r="K1" s="1">
        <f t="shared" si="0"/>
        <v>45936</v>
      </c>
      <c r="L1" s="1">
        <f t="shared" si="0"/>
        <v>45943</v>
      </c>
      <c r="M1" s="1">
        <f t="shared" si="0"/>
        <v>45950</v>
      </c>
      <c r="N1" s="1">
        <f t="shared" si="0"/>
        <v>45957</v>
      </c>
    </row>
    <row r="2" spans="1:15" x14ac:dyDescent="0.35">
      <c r="B2" t="s">
        <v>49</v>
      </c>
      <c r="C2" s="1">
        <v>45879.9</v>
      </c>
      <c r="D2" s="1">
        <f>C2+7</f>
        <v>45886.9</v>
      </c>
      <c r="E2" s="1">
        <f>D2+7</f>
        <v>45893.9</v>
      </c>
      <c r="F2" s="1">
        <f t="shared" si="0"/>
        <v>45900.9</v>
      </c>
      <c r="G2" s="1">
        <f t="shared" si="0"/>
        <v>45907.9</v>
      </c>
      <c r="H2" s="1">
        <f t="shared" si="0"/>
        <v>45914.9</v>
      </c>
      <c r="I2" s="1">
        <f>I1+6.9</f>
        <v>45928.9</v>
      </c>
      <c r="J2" s="1">
        <f t="shared" si="0"/>
        <v>45935.9</v>
      </c>
      <c r="K2" s="1">
        <f t="shared" si="0"/>
        <v>45942.9</v>
      </c>
      <c r="L2" s="1">
        <f t="shared" si="0"/>
        <v>45949.9</v>
      </c>
      <c r="M2" s="1">
        <f t="shared" si="0"/>
        <v>45956.9</v>
      </c>
      <c r="N2" s="1">
        <f t="shared" si="0"/>
        <v>45963.9</v>
      </c>
    </row>
    <row r="3" spans="1:15" x14ac:dyDescent="0.35">
      <c r="A3" t="s">
        <v>29</v>
      </c>
      <c r="B3" t="s">
        <v>39</v>
      </c>
      <c r="C3" t="s">
        <v>46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40</v>
      </c>
      <c r="N3" t="s">
        <v>47</v>
      </c>
      <c r="O3" t="s">
        <v>50</v>
      </c>
    </row>
    <row r="4" spans="1:15" x14ac:dyDescent="0.35">
      <c r="A4" t="str" cm="1">
        <f t="array" ref="A4:A8">_xlfn.UNIQUE(Data[Recipient Email])</f>
        <v>2364832487@uni.edu</v>
      </c>
      <c r="B4" t="str">
        <f>_xlfn.XLOOKUP(A4,Data[Recipient Email],Data[Recipient Last Name],NA(),0) &amp; ", " &amp; _xlfn.XLOOKUP(A4,Data[Recipient Email],Data[Recipient First Name],NA(),0)</f>
        <v>Smith, John</v>
      </c>
      <c r="C4" cm="1">
        <f t="array" ref="C4">SUM((Data[[Start Date]:[Start Date]]&gt;C$1)*(Data[[End Date]:[End Date]]&lt;C$2)*(Data[[Recipient Email]:[Recipient Email]]=$A4))</f>
        <v>0</v>
      </c>
      <c r="D4" cm="1">
        <f t="array" ref="D4">SUM((Data[[Start Date]:[Start Date]]&gt;D$1)*(Data[[End Date]:[End Date]]&lt;D$2)*(Data[[Recipient Email]:[Recipient Email]]=$A4))</f>
        <v>1</v>
      </c>
      <c r="E4" cm="1">
        <f t="array" ref="E4">SUM((Data[[Start Date]:[Start Date]]&gt;E$1)*(Data[[End Date]:[End Date]]&lt;E$2)*(Data[[Recipient Email]:[Recipient Email]]=$A4))</f>
        <v>0</v>
      </c>
      <c r="F4" cm="1">
        <f t="array" ref="F4">SUM((Data[[Start Date]:[Start Date]]&gt;F$1)*(Data[[End Date]:[End Date]]&lt;F$2)*(Data[[Recipient Email]:[Recipient Email]]=$A4))</f>
        <v>0</v>
      </c>
      <c r="G4" cm="1">
        <f t="array" ref="G4">SUM((Data[[Start Date]:[Start Date]]&gt;G$1)*(Data[[End Date]:[End Date]]&lt;G$2)*(Data[[Recipient Email]:[Recipient Email]]=$A4))</f>
        <v>0</v>
      </c>
      <c r="H4" cm="1">
        <f t="array" ref="H4">SUM((Data[[Start Date]:[Start Date]]&gt;H$1)*(Data[[End Date]:[End Date]]&lt;H$2)*(Data[[Recipient Email]:[Recipient Email]]=$A4))</f>
        <v>0</v>
      </c>
      <c r="I4" cm="1">
        <f t="array" ref="I4">SUM((Data[[Start Date]:[Start Date]]&gt;I$1)*(Data[[End Date]:[End Date]]&lt;I$2)*(Data[[Recipient Email]:[Recipient Email]]=$A4))</f>
        <v>0</v>
      </c>
      <c r="J4" cm="1">
        <f t="array" ref="J4">SUM((Data[[Start Date]:[Start Date]]&gt;J$1)*(Data[[End Date]:[End Date]]&lt;J$2)*(Data[[Recipient Email]:[Recipient Email]]=$A4))</f>
        <v>0</v>
      </c>
      <c r="K4" cm="1">
        <f t="array" ref="K4">SUM((Data[[Start Date]:[Start Date]]&gt;K$1)*(Data[[End Date]:[End Date]]&lt;K$2)*(Data[[Recipient Email]:[Recipient Email]]=$A4))</f>
        <v>0</v>
      </c>
      <c r="L4" cm="1">
        <f t="array" ref="L4">SUM((Data[[Start Date]:[Start Date]]&gt;L$1)*(Data[[End Date]:[End Date]]&lt;L$2)*(Data[[Recipient Email]:[Recipient Email]]=$A4))</f>
        <v>0</v>
      </c>
      <c r="M4" cm="1">
        <f t="array" ref="M4">SUM((Data[[Start Date]:[Start Date]]&gt;M$1)*(Data[[End Date]:[End Date]]&lt;M$2)*(Data[[Recipient Email]:[Recipient Email]]=$A4))</f>
        <v>0</v>
      </c>
      <c r="N4" cm="1">
        <f t="array" ref="N4">SUM((Data[[Start Date]:[Start Date]]&gt;N$1)*(Data[[End Date]:[End Date]]&lt;N$2)*(Data[[Recipient Email]:[Recipient Email]]=$A4))</f>
        <v>0</v>
      </c>
    </row>
    <row r="5" spans="1:15" x14ac:dyDescent="0.35">
      <c r="A5" t="str">
        <v>739857349@uni.edu</v>
      </c>
      <c r="B5" t="str">
        <f>_xlfn.XLOOKUP(A5,Data[Recipient Email],Data[Recipient Last Name],NA(),0) &amp; ", " &amp; _xlfn.XLOOKUP(A5,Data[Recipient Email],Data[Recipient First Name],NA(),0)</f>
        <v>Buble, Michael</v>
      </c>
      <c r="C5" cm="1">
        <f t="array" ref="C5">SUM((Data[[Start Date]:[Start Date]]&gt;C$1)*(Data[[End Date]:[End Date]]&lt;C$2)*(Data[[Recipient Email]:[Recipient Email]]=$A5))</f>
        <v>0</v>
      </c>
      <c r="D5" cm="1">
        <f t="array" ref="D5">SUM((Data[[Start Date]:[Start Date]]&gt;D$1)*(Data[[End Date]:[End Date]]&lt;D$2)*(Data[[Recipient Email]:[Recipient Email]]=$A5))</f>
        <v>1</v>
      </c>
      <c r="E5" cm="1">
        <f t="array" ref="E5">SUM((Data[[Start Date]:[Start Date]]&gt;E$1)*(Data[[End Date]:[End Date]]&lt;E$2)*(Data[[Recipient Email]:[Recipient Email]]=$A5))</f>
        <v>0</v>
      </c>
      <c r="F5" cm="1">
        <f t="array" ref="F5">SUM((Data[[Start Date]:[Start Date]]&gt;F$1)*(Data[[End Date]:[End Date]]&lt;F$2)*(Data[[Recipient Email]:[Recipient Email]]=$A5))</f>
        <v>0</v>
      </c>
      <c r="G5" cm="1">
        <f t="array" ref="G5">SUM((Data[[Start Date]:[Start Date]]&gt;G$1)*(Data[[End Date]:[End Date]]&lt;G$2)*(Data[[Recipient Email]:[Recipient Email]]=$A5))</f>
        <v>0</v>
      </c>
      <c r="H5" cm="1">
        <f t="array" ref="H5">SUM((Data[[Start Date]:[Start Date]]&gt;H$1)*(Data[[End Date]:[End Date]]&lt;H$2)*(Data[[Recipient Email]:[Recipient Email]]=$A5))</f>
        <v>0</v>
      </c>
      <c r="I5" cm="1">
        <f t="array" ref="I5">SUM((Data[[Start Date]:[Start Date]]&gt;I$1)*(Data[[End Date]:[End Date]]&lt;I$2)*(Data[[Recipient Email]:[Recipient Email]]=$A5))</f>
        <v>0</v>
      </c>
      <c r="J5" cm="1">
        <f t="array" ref="J5">SUM((Data[[Start Date]:[Start Date]]&gt;J$1)*(Data[[End Date]:[End Date]]&lt;J$2)*(Data[[Recipient Email]:[Recipient Email]]=$A5))</f>
        <v>0</v>
      </c>
      <c r="K5" cm="1">
        <f t="array" ref="K5">SUM((Data[[Start Date]:[Start Date]]&gt;K$1)*(Data[[End Date]:[End Date]]&lt;K$2)*(Data[[Recipient Email]:[Recipient Email]]=$A5))</f>
        <v>0</v>
      </c>
      <c r="L5" cm="1">
        <f t="array" ref="L5">SUM((Data[[Start Date]:[Start Date]]&gt;L$1)*(Data[[End Date]:[End Date]]&lt;L$2)*(Data[[Recipient Email]:[Recipient Email]]=$A5))</f>
        <v>0</v>
      </c>
      <c r="M5" cm="1">
        <f t="array" ref="M5">SUM((Data[[Start Date]:[Start Date]]&gt;M$1)*(Data[[End Date]:[End Date]]&lt;M$2)*(Data[[Recipient Email]:[Recipient Email]]=$A5))</f>
        <v>0</v>
      </c>
      <c r="N5" cm="1">
        <f t="array" ref="N5">SUM((Data[[Start Date]:[Start Date]]&gt;N$1)*(Data[[End Date]:[End Date]]&lt;N$2)*(Data[[Recipient Email]:[Recipient Email]]=$A5))</f>
        <v>0</v>
      </c>
    </row>
    <row r="6" spans="1:15" x14ac:dyDescent="0.35">
      <c r="A6" t="str">
        <v>128938294@uni.edu</v>
      </c>
      <c r="B6" t="str">
        <f>_xlfn.XLOOKUP(A6,Data[Recipient Email],Data[Recipient Last Name],NA(),0) &amp; ", " &amp; _xlfn.XLOOKUP(A6,Data[Recipient Email],Data[Recipient First Name],NA(),0)</f>
        <v>Addams, Wednesday</v>
      </c>
      <c r="C6" cm="1">
        <f t="array" ref="C6">SUM((Data[[Start Date]:[Start Date]]&gt;C$1)*(Data[[End Date]:[End Date]]&lt;C$2)*(Data[[Recipient Email]:[Recipient Email]]=$A6))</f>
        <v>0</v>
      </c>
      <c r="D6" cm="1">
        <f t="array" ref="D6">SUM((Data[[Start Date]:[Start Date]]&gt;D$1)*(Data[[End Date]:[End Date]]&lt;D$2)*(Data[[Recipient Email]:[Recipient Email]]=$A6))</f>
        <v>1</v>
      </c>
      <c r="E6" cm="1">
        <f t="array" ref="E6">SUM((Data[[Start Date]:[Start Date]]&gt;E$1)*(Data[[End Date]:[End Date]]&lt;E$2)*(Data[[Recipient Email]:[Recipient Email]]=$A6))</f>
        <v>0</v>
      </c>
      <c r="F6" cm="1">
        <f t="array" ref="F6">SUM((Data[[Start Date]:[Start Date]]&gt;F$1)*(Data[[End Date]:[End Date]]&lt;F$2)*(Data[[Recipient Email]:[Recipient Email]]=$A6))</f>
        <v>0</v>
      </c>
      <c r="G6" cm="1">
        <f t="array" ref="G6">SUM((Data[[Start Date]:[Start Date]]&gt;G$1)*(Data[[End Date]:[End Date]]&lt;G$2)*(Data[[Recipient Email]:[Recipient Email]]=$A6))</f>
        <v>0</v>
      </c>
      <c r="H6" cm="1">
        <f t="array" ref="H6">SUM((Data[[Start Date]:[Start Date]]&gt;H$1)*(Data[[End Date]:[End Date]]&lt;H$2)*(Data[[Recipient Email]:[Recipient Email]]=$A6))</f>
        <v>0</v>
      </c>
      <c r="I6" cm="1">
        <f t="array" ref="I6">SUM((Data[[Start Date]:[Start Date]]&gt;I$1)*(Data[[End Date]:[End Date]]&lt;I$2)*(Data[[Recipient Email]:[Recipient Email]]=$A6))</f>
        <v>0</v>
      </c>
      <c r="J6" cm="1">
        <f t="array" ref="J6">SUM((Data[[Start Date]:[Start Date]]&gt;J$1)*(Data[[End Date]:[End Date]]&lt;J$2)*(Data[[Recipient Email]:[Recipient Email]]=$A6))</f>
        <v>0</v>
      </c>
      <c r="K6" cm="1">
        <f t="array" ref="K6">SUM((Data[[Start Date]:[Start Date]]&gt;K$1)*(Data[[End Date]:[End Date]]&lt;K$2)*(Data[[Recipient Email]:[Recipient Email]]=$A6))</f>
        <v>0</v>
      </c>
      <c r="L6" cm="1">
        <f t="array" ref="L6">SUM((Data[[Start Date]:[Start Date]]&gt;L$1)*(Data[[End Date]:[End Date]]&lt;L$2)*(Data[[Recipient Email]:[Recipient Email]]=$A6))</f>
        <v>0</v>
      </c>
      <c r="M6" cm="1">
        <f t="array" ref="M6">SUM((Data[[Start Date]:[Start Date]]&gt;M$1)*(Data[[End Date]:[End Date]]&lt;M$2)*(Data[[Recipient Email]:[Recipient Email]]=$A6))</f>
        <v>0</v>
      </c>
      <c r="N6" cm="1">
        <f t="array" ref="N6">SUM((Data[[Start Date]:[Start Date]]&gt;N$1)*(Data[[End Date]:[End Date]]&lt;N$2)*(Data[[Recipient Email]:[Recipient Email]]=$A6))</f>
        <v>0</v>
      </c>
    </row>
    <row r="7" spans="1:15" x14ac:dyDescent="0.35">
      <c r="A7" t="str">
        <v>23948239423@uni.edu</v>
      </c>
      <c r="B7" t="str">
        <f>_xlfn.XLOOKUP(A7,Data[Recipient Email],Data[Recipient Last Name],NA(),0) &amp; ", " &amp; _xlfn.XLOOKUP(A7,Data[Recipient Email],Data[Recipient First Name],NA(),0)</f>
        <v>Simpson, Homer</v>
      </c>
      <c r="C7" cm="1">
        <f t="array" ref="C7">SUM((Data[[Start Date]:[Start Date]]&gt;C$1)*(Data[[End Date]:[End Date]]&lt;C$2)*(Data[[Recipient Email]:[Recipient Email]]=$A7))</f>
        <v>0</v>
      </c>
      <c r="D7" cm="1">
        <f t="array" ref="D7">SUM((Data[[Start Date]:[Start Date]]&gt;D$1)*(Data[[End Date]:[End Date]]&lt;D$2)*(Data[[Recipient Email]:[Recipient Email]]=$A7))</f>
        <v>1</v>
      </c>
      <c r="E7" cm="1">
        <f t="array" ref="E7">SUM((Data[[Start Date]:[Start Date]]&gt;E$1)*(Data[[End Date]:[End Date]]&lt;E$2)*(Data[[Recipient Email]:[Recipient Email]]=$A7))</f>
        <v>0</v>
      </c>
      <c r="F7" cm="1">
        <f t="array" ref="F7">SUM((Data[[Start Date]:[Start Date]]&gt;F$1)*(Data[[End Date]:[End Date]]&lt;F$2)*(Data[[Recipient Email]:[Recipient Email]]=$A7))</f>
        <v>0</v>
      </c>
      <c r="G7" cm="1">
        <f t="array" ref="G7">SUM((Data[[Start Date]:[Start Date]]&gt;G$1)*(Data[[End Date]:[End Date]]&lt;G$2)*(Data[[Recipient Email]:[Recipient Email]]=$A7))</f>
        <v>0</v>
      </c>
      <c r="H7" cm="1">
        <f t="array" ref="H7">SUM((Data[[Start Date]:[Start Date]]&gt;H$1)*(Data[[End Date]:[End Date]]&lt;H$2)*(Data[[Recipient Email]:[Recipient Email]]=$A7))</f>
        <v>0</v>
      </c>
      <c r="I7" cm="1">
        <f t="array" ref="I7">SUM((Data[[Start Date]:[Start Date]]&gt;I$1)*(Data[[End Date]:[End Date]]&lt;I$2)*(Data[[Recipient Email]:[Recipient Email]]=$A7))</f>
        <v>0</v>
      </c>
      <c r="J7" cm="1">
        <f t="array" ref="J7">SUM((Data[[Start Date]:[Start Date]]&gt;J$1)*(Data[[End Date]:[End Date]]&lt;J$2)*(Data[[Recipient Email]:[Recipient Email]]=$A7))</f>
        <v>0</v>
      </c>
      <c r="K7" cm="1">
        <f t="array" ref="K7">SUM((Data[[Start Date]:[Start Date]]&gt;K$1)*(Data[[End Date]:[End Date]]&lt;K$2)*(Data[[Recipient Email]:[Recipient Email]]=$A7))</f>
        <v>0</v>
      </c>
      <c r="L7" cm="1">
        <f t="array" ref="L7">SUM((Data[[Start Date]:[Start Date]]&gt;L$1)*(Data[[End Date]:[End Date]]&lt;L$2)*(Data[[Recipient Email]:[Recipient Email]]=$A7))</f>
        <v>0</v>
      </c>
      <c r="M7" cm="1">
        <f t="array" ref="M7">SUM((Data[[Start Date]:[Start Date]]&gt;M$1)*(Data[[End Date]:[End Date]]&lt;M$2)*(Data[[Recipient Email]:[Recipient Email]]=$A7))</f>
        <v>0</v>
      </c>
      <c r="N7" cm="1">
        <f t="array" ref="N7">SUM((Data[[Start Date]:[Start Date]]&gt;N$1)*(Data[[End Date]:[End Date]]&lt;N$2)*(Data[[Recipient Email]:[Recipient Email]]=$A7))</f>
        <v>0</v>
      </c>
    </row>
    <row r="8" spans="1:15" x14ac:dyDescent="0.35">
      <c r="A8" t="str">
        <v>283749234@uni.edu</v>
      </c>
      <c r="B8" t="str">
        <f>_xlfn.XLOOKUP(A8,Data[Recipient Email],Data[Recipient Last Name],NA(),0) &amp; ", " &amp; _xlfn.XLOOKUP(A8,Data[Recipient Email],Data[Recipient First Name],NA(),0)</f>
        <v>Mustang, Sally</v>
      </c>
      <c r="C8" cm="1">
        <f t="array" ref="C8">SUM((Data[[Start Date]:[Start Date]]&gt;C$1)*(Data[[End Date]:[End Date]]&lt;C$2)*(Data[[Recipient Email]:[Recipient Email]]=$A8))</f>
        <v>0</v>
      </c>
      <c r="D8" cm="1">
        <f t="array" ref="D8">SUM((Data[[Start Date]:[Start Date]]&gt;D$1)*(Data[[End Date]:[End Date]]&lt;D$2)*(Data[[Recipient Email]:[Recipient Email]]=$A8))</f>
        <v>1</v>
      </c>
      <c r="E8" cm="1">
        <f t="array" ref="E8">SUM((Data[[Start Date]:[Start Date]]&gt;E$1)*(Data[[End Date]:[End Date]]&lt;E$2)*(Data[[Recipient Email]:[Recipient Email]]=$A8))</f>
        <v>0</v>
      </c>
      <c r="F8" cm="1">
        <f t="array" ref="F8">SUM((Data[[Start Date]:[Start Date]]&gt;F$1)*(Data[[End Date]:[End Date]]&lt;F$2)*(Data[[Recipient Email]:[Recipient Email]]=$A8))</f>
        <v>0</v>
      </c>
      <c r="G8" cm="1">
        <f t="array" ref="G8">SUM((Data[[Start Date]:[Start Date]]&gt;G$1)*(Data[[End Date]:[End Date]]&lt;G$2)*(Data[[Recipient Email]:[Recipient Email]]=$A8))</f>
        <v>0</v>
      </c>
      <c r="H8" cm="1">
        <f t="array" ref="H8">SUM((Data[[Start Date]:[Start Date]]&gt;H$1)*(Data[[End Date]:[End Date]]&lt;H$2)*(Data[[Recipient Email]:[Recipient Email]]=$A8))</f>
        <v>0</v>
      </c>
      <c r="I8" cm="1">
        <f t="array" ref="I8">SUM((Data[[Start Date]:[Start Date]]&gt;I$1)*(Data[[End Date]:[End Date]]&lt;I$2)*(Data[[Recipient Email]:[Recipient Email]]=$A8))</f>
        <v>0</v>
      </c>
      <c r="J8" cm="1">
        <f t="array" ref="J8">SUM((Data[[Start Date]:[Start Date]]&gt;J$1)*(Data[[End Date]:[End Date]]&lt;J$2)*(Data[[Recipient Email]:[Recipient Email]]=$A8))</f>
        <v>0</v>
      </c>
      <c r="K8" cm="1">
        <f t="array" ref="K8">SUM((Data[[Start Date]:[Start Date]]&gt;K$1)*(Data[[End Date]:[End Date]]&lt;K$2)*(Data[[Recipient Email]:[Recipient Email]]=$A8))</f>
        <v>0</v>
      </c>
      <c r="L8" cm="1">
        <f t="array" ref="L8">SUM((Data[[Start Date]:[Start Date]]&gt;L$1)*(Data[[End Date]:[End Date]]&lt;L$2)*(Data[[Recipient Email]:[Recipient Email]]=$A8))</f>
        <v>0</v>
      </c>
      <c r="M8" cm="1">
        <f t="array" ref="M8">SUM((Data[[Start Date]:[Start Date]]&gt;M$1)*(Data[[End Date]:[End Date]]&lt;M$2)*(Data[[Recipient Email]:[Recipient Email]]=$A8))</f>
        <v>0</v>
      </c>
      <c r="N8" cm="1">
        <f t="array" ref="N8">SUM((Data[[Start Date]:[Start Date]]&gt;N$1)*(Data[[End Date]:[End Date]]&lt;N$2)*(Data[[Recipient Email]:[Recipient Email]]=$A8))</f>
        <v>0</v>
      </c>
    </row>
  </sheetData>
  <autoFilter ref="A3:N8" xr:uid="{F4C43EAE-9B2D-4F1C-9CF6-3010FA1B087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QR Data</vt:lpstr>
      <vt:lpstr>Students</vt:lpstr>
      <vt:lpstr>Distribution_Channel</vt:lpstr>
      <vt:lpstr>Duration__in_seconds</vt:lpstr>
      <vt:lpstr>End_Date</vt:lpstr>
      <vt:lpstr>External_Data_Reference</vt:lpstr>
      <vt:lpstr>Finished</vt:lpstr>
      <vt:lpstr>IP_Address</vt:lpstr>
      <vt:lpstr>Location_Latitude</vt:lpstr>
      <vt:lpstr>Location_Longitude</vt:lpstr>
      <vt:lpstr>Progress</vt:lpstr>
      <vt:lpstr>Recipient_Email</vt:lpstr>
      <vt:lpstr>Recipient_First_Name</vt:lpstr>
      <vt:lpstr>Recipient_Last_Name</vt:lpstr>
      <vt:lpstr>Recorded_Date</vt:lpstr>
      <vt:lpstr>Response_ID</vt:lpstr>
      <vt:lpstr>Response_Type</vt:lpstr>
      <vt:lpstr>Start_Date</vt:lpstr>
      <vt:lpstr>User_Language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Tim Bednall</cp:lastModifiedBy>
  <cp:revision/>
  <dcterms:created xsi:type="dcterms:W3CDTF">2025-08-27T03:46:14Z</dcterms:created>
  <dcterms:modified xsi:type="dcterms:W3CDTF">2026-07-13T07:35:47Z</dcterms:modified>
  <cp:category/>
  <cp:contentStatus/>
</cp:coreProperties>
</file>